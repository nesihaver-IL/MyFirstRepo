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nhaver\MyFirstRepo\03-plans\strategy-presentation\"/>
    </mc:Choice>
  </mc:AlternateContent>
  <xr:revisionPtr revIDLastSave="0" documentId="13_ncr:101_{F7DAA204-6A7B-418D-A3D6-4C397901851B}" xr6:coauthVersionLast="47" xr6:coauthVersionMax="47" xr10:uidLastSave="{00000000-0000-0000-0000-000000000000}"/>
  <bookViews>
    <workbookView xWindow="-120" yWindow="-120" windowWidth="29040" windowHeight="15720" xr2:uid="{4E557900-CA08-4531-9CE4-F777BCE1CA18}"/>
  </bookViews>
  <sheets>
    <sheet name="Timeline" sheetId="2" r:id="rId1"/>
    <sheet name="Sheet1" sheetId="1" r:id="rId2"/>
  </sheets>
  <externalReferences>
    <externalReference r:id="rId3"/>
  </externalReferences>
  <definedNames>
    <definedName name="CC_Location">OFFSET([1]LUT!$NK$4,0,0,COUNTA([1]LUT!$NK:$NK)-1)</definedName>
    <definedName name="CC_Role">OFFSET([1]LUT!$NI$4,0,0,COUNTA([1]LUT!$NI:$NI)-1)</definedName>
    <definedName name="Conjoint_and_Routine_Analysis">OFFSET([1]LUT!$BI$4,0,0,COUNTA([1]LUT!$BI:$BI)-1)</definedName>
    <definedName name="Currency_Code">OFFSET([1]LUT!$NZ$4,0,0,COUNTA([1]LUT!$NZ:$NZ)-1)</definedName>
    <definedName name="CYBER_Product_Version">OFFSET([1]LUT!$D$4,0,0,COUNTA([1]LUT!$D:$D)-1)</definedName>
    <definedName name="CYBER_Servers">OFFSET([1]LUT!$GB$4,0,0,COUNTA([1]LUT!$GB:$GB)-1)</definedName>
    <definedName name="Include_Ignore">#REF!</definedName>
    <definedName name="Input_Type">OFFSET([1]LUT!$F$4,0,0,COUNTA([1]LUT!$F:$F)-1)</definedName>
    <definedName name="MASS_Servers">OFFSET([1]LUT!$FX$4,0,0,COUNTA([1]LUT!$FX:$FX)-1)</definedName>
    <definedName name="MASSInputData">#REF!</definedName>
    <definedName name="Max_VM_SWAP">[1]Parameters!$C$147</definedName>
    <definedName name="NTP_Device_Option">OFFSET([1]LUT!$KK$3,0,0,COUNTA([1]LUT!$KK:$KK)-1)</definedName>
    <definedName name="Number_Of_Speakers">OFFSET([1]LUT!$AW$4,0,0,COUNTA([1]LUT!$AW:$AW)-1)</definedName>
    <definedName name="Pricing_Mapping_Tabs">OFFSET([1]LUT!$NP$4,0,0,COUNTA([1]LUT!$NP:$NP)-2)</definedName>
    <definedName name="Product_Name">OFFSET([1]LUT!$OD$4,0,0,COUNTA([1]LUT!$OD:$OD)-1)</definedName>
    <definedName name="Products">OFFSET([1]LUT!$AY$4,0,0,COUNTA([1]LUT!$AY:$AY)-1)</definedName>
    <definedName name="Redundancy">OFFSET([1]LUT!$E$4,0,0,COUNTA([1]LUT!$E:$E)-1)</definedName>
    <definedName name="Reliant_Product_Version">OFFSET([1]LUT!$B$4,0,0,COUNTA([1]LUT!$B:$B)-2)</definedName>
    <definedName name="RELIANT_Servers">OFFSET([1]LUT!$FW$4,0,0,COUNTA([1]LUT!$FW:$FW)-2)</definedName>
    <definedName name="RELIANT_STAR_GATE_Servers">OFFSET([1]LUT!$GA$4,0,0,COUNTA([1]LUT!$GA:$GA)-1)</definedName>
    <definedName name="RndSummaryTable">#REF!</definedName>
    <definedName name="SAS_disk_size">OFFSET([1]LUT!$Q$4,0,0,COUNTA([1]LUT!$Q:$Q)-1)</definedName>
    <definedName name="SATA_disk_size">OFFSET([1]LUT!$S$4,0,0,COUNTA([1]LUT!$S:$S)-1)</definedName>
    <definedName name="SAU_AAA_Server">OFFSET([1]LUT!$KS$3,0,0,COUNTA([1]LUT!$KS:$KS)-1)</definedName>
    <definedName name="Server_Name">OFFSET([1]LUT!$U$4,0,0,COUNTA([1]LUT!$U:$U)-2)</definedName>
    <definedName name="STAR_GATE_Servers">OFFSET([1]LUT!$FZ$4,0,0,COUNTA([1]LUT!$FZ:$FZ)-1)</definedName>
    <definedName name="Stargate_Product_Version">OFFSET([1]LUT!$C$4,0,0,COUNTA([1]LUT!$C:$C)-1)</definedName>
    <definedName name="Stream">OFFSET([1]LUT!$OB$4,0,0,COUNTA([1]LUT!$OB:$OB)-1)</definedName>
    <definedName name="ThirdPartySummaryPivotRange">OFFSET(#REF!,0,0,COUNTA(#REF!),10)</definedName>
    <definedName name="ThirdPartySummaryUpdatedPivotRange">OFFSET('[1]3rd Party List Updated'!$B$8,0,0,COUNTA('[1]3rd Party List Updated'!$B:$B),5)</definedName>
    <definedName name="VANTAGE_Servers">OFFSET([1]LUT!$FY$4,0,0,COUNTA([1]LUT!$FY:$FY)-1)</definedName>
    <definedName name="VBW_Product_Version">OFFSET([1]LUT!$A$4,0,0,COUNTA([1]LUT!$A:$A)-1)</definedName>
    <definedName name="Yes_No">[1]LUT!$E$4:$E$5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W1" i="2" l="1"/>
  <c r="DW2" i="2" s="1"/>
  <c r="G2" i="2"/>
  <c r="B2" i="2"/>
  <c r="G1" i="2"/>
  <c r="L1" i="2" l="1"/>
  <c r="Q1" i="2" l="1"/>
  <c r="Q2" i="2" s="1"/>
  <c r="L2" i="2"/>
  <c r="V1" i="2"/>
  <c r="AA1" i="2" l="1"/>
  <c r="AA2" i="2" s="1"/>
  <c r="V2" i="2"/>
  <c r="AF1" i="2"/>
  <c r="AF2" i="2" s="1"/>
  <c r="AK1" i="2" l="1"/>
  <c r="AK2" i="2" s="1"/>
  <c r="AP1" i="2" l="1"/>
  <c r="AP2" i="2" s="1"/>
  <c r="AU1" i="2" l="1"/>
  <c r="AU2" i="2" s="1"/>
  <c r="AZ1" i="2" l="1"/>
  <c r="AZ2" i="2" s="1"/>
  <c r="BE1" i="2" l="1"/>
  <c r="BE2" i="2" s="1"/>
  <c r="BJ1" i="2" l="1"/>
  <c r="BJ2" i="2" s="1"/>
  <c r="BO1" i="2" l="1"/>
  <c r="BO2" i="2" s="1"/>
  <c r="BT1" i="2" l="1"/>
  <c r="BT2" i="2" s="1"/>
  <c r="BY1" i="2" l="1"/>
  <c r="BY2" i="2" s="1"/>
  <c r="CD1" i="2" l="1"/>
  <c r="CD2" i="2" s="1"/>
  <c r="CI1" i="2" l="1"/>
  <c r="CI2" i="2" s="1"/>
  <c r="CN1" i="2" l="1"/>
  <c r="CN2" i="2" s="1"/>
  <c r="CS1" i="2" l="1"/>
  <c r="CS2" i="2" s="1"/>
  <c r="CX1" i="2" l="1"/>
  <c r="CX2" i="2" s="1"/>
  <c r="DC1" i="2" l="1"/>
  <c r="DC2" i="2" s="1"/>
  <c r="DH1" i="2" l="1"/>
  <c r="DH2" i="2" s="1"/>
  <c r="DM1" i="2" l="1"/>
  <c r="DM2" i="2" s="1"/>
  <c r="DR1" i="2" l="1"/>
  <c r="DR2" i="2" s="1"/>
</calcChain>
</file>

<file path=xl/sharedStrings.xml><?xml version="1.0" encoding="utf-8"?>
<sst xmlns="http://schemas.openxmlformats.org/spreadsheetml/2006/main" count="51" uniqueCount="42">
  <si>
    <t>Weekly</t>
  </si>
  <si>
    <t>calender Weeks END</t>
  </si>
  <si>
    <t>Weeks</t>
  </si>
  <si>
    <t>Week 1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</si>
  <si>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</si>
  <si>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</si>
  <si>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</si>
  <si>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</si>
  <si>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</si>
  <si>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</si>
  <si>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</si>
  <si>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</si>
  <si>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</si>
  <si>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</si>
  <si>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</si>
  <si>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</si>
  <si>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</si>
  <si>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</si>
  <si>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</si>
  <si>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</si>
  <si>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</si>
  <si>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</si>
  <si>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</si>
  <si>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</si>
  <si>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</si>
  <si>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 xml:space="preserve">Prep </t>
  </si>
  <si>
    <t xml:space="preserve">PO </t>
  </si>
  <si>
    <t>KOM</t>
  </si>
  <si>
    <t xml:space="preserve">Procurmet shipment and custom clearance </t>
  </si>
  <si>
    <t xml:space="preserve"> BE</t>
  </si>
  <si>
    <t xml:space="preserve">Site 1 FE </t>
  </si>
  <si>
    <t xml:space="preserve">Rack Installation  Power up and HW Installation </t>
  </si>
  <si>
    <t xml:space="preserve">FE IP Configuration Prepartion for New TBOS, MDE and SAU </t>
  </si>
  <si>
    <t xml:space="preserve">FE IP TBOS Integration and internal verification </t>
  </si>
  <si>
    <t xml:space="preserve">FE IP MDE  Addition, Integration and internal verification </t>
  </si>
  <si>
    <t xml:space="preserve">FE IP SAU Addition and New UDC  Integration and internal verification </t>
  </si>
  <si>
    <t xml:space="preserve"> FE IP Verification with Prime</t>
  </si>
  <si>
    <t>Acceptance Test Procedure - ATP</t>
  </si>
  <si>
    <t xml:space="preserve">Site 2 FE </t>
  </si>
  <si>
    <t>Week 2</t>
  </si>
  <si>
    <t>Week3</t>
  </si>
  <si>
    <t>BE V19.x  UDC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</si>
</sst>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charset val="177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E4BBB8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0" fillId="6" borderId="0" xfId="0" applyFill="1"/>
    <xf numFmtId="0" fontId="1" fillId="10" borderId="10" xfId="0" applyFont="1" applyFill="1" applyBorder="1" applyAlignment="1">
      <alignment horizontal="center" vertical="center" wrapText="1"/>
    </xf>
    <xf numFmtId="0" fontId="1" fillId="11" borderId="0" xfId="0" applyFont="1" applyFill="1"/>
    <xf numFmtId="0" fontId="1" fillId="6" borderId="10" xfId="0" applyFont="1" applyFill="1" applyBorder="1" applyAlignment="1">
      <alignment horizontal="center" vertical="center" wrapText="1"/>
    </xf>
    <xf numFmtId="0" fontId="1" fillId="6" borderId="0" xfId="0" applyFont="1" applyFill="1"/>
    <xf numFmtId="0" fontId="1" fillId="6" borderId="0" xfId="0" applyFont="1" applyFill="1" applyAlignment="1">
      <alignment horizontal="left" wrapText="1"/>
    </xf>
    <xf numFmtId="164" fontId="3" fillId="3" borderId="2" xfId="1" applyNumberFormat="1" applyFont="1" applyFill="1" applyBorder="1" applyAlignment="1">
      <alignment horizontal="center"/>
    </xf>
    <xf numFmtId="164" fontId="3" fillId="3" borderId="3" xfId="1" applyNumberFormat="1" applyFont="1" applyFill="1" applyBorder="1" applyAlignment="1">
      <alignment horizontal="center"/>
    </xf>
    <xf numFmtId="164" fontId="3" fillId="3" borderId="5" xfId="1" applyNumberFormat="1" applyFont="1" applyFill="1" applyBorder="1" applyAlignment="1">
      <alignment horizontal="center"/>
    </xf>
    <xf numFmtId="164" fontId="3" fillId="3" borderId="6" xfId="1" applyNumberFormat="1" applyFont="1" applyFill="1" applyBorder="1" applyAlignment="1">
      <alignment horizontal="center"/>
    </xf>
    <xf numFmtId="164" fontId="3" fillId="3" borderId="7" xfId="1" applyNumberFormat="1" applyFont="1" applyFill="1" applyBorder="1" applyAlignment="1">
      <alignment horizontal="center"/>
    </xf>
    <xf numFmtId="0" fontId="1" fillId="14" borderId="0" xfId="0" applyFont="1" applyFill="1" applyAlignment="1">
      <alignment horizontal="center" wrapText="1"/>
    </xf>
    <xf numFmtId="0" fontId="1" fillId="15" borderId="0" xfId="0" applyFont="1" applyFill="1" applyAlignment="1">
      <alignment horizontal="left" wrapText="1"/>
    </xf>
    <xf numFmtId="0" fontId="1" fillId="12" borderId="0" xfId="0" applyFont="1" applyFill="1" applyAlignment="1">
      <alignment horizontal="left" wrapText="1"/>
    </xf>
    <xf numFmtId="0" fontId="1" fillId="13" borderId="0" xfId="0" applyFont="1" applyFill="1" applyAlignment="1">
      <alignment horizontal="left" wrapText="1"/>
    </xf>
    <xf numFmtId="0" fontId="1" fillId="9" borderId="11" xfId="0" applyFont="1" applyFill="1" applyBorder="1" applyAlignment="1">
      <alignment horizontal="left" vertical="center" wrapText="1"/>
    </xf>
    <xf numFmtId="0" fontId="1" fillId="9" borderId="12" xfId="0" applyFont="1" applyFill="1" applyBorder="1" applyAlignment="1">
      <alignment horizontal="left" vertical="center" wrapText="1"/>
    </xf>
    <xf numFmtId="0" fontId="1" fillId="9" borderId="13" xfId="0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</cellXfs>
  <cellStyles count="2">
    <cellStyle name="Normal" xfId="0" builtinId="0"/>
    <cellStyle name="Normal 2 4" xfId="1" xr:uid="{243F8B9F-56AA-40B5-B439-68455FCC7A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ikas\Project\vikas\CR04%20V22,%20LI%20and%20%20LBS\STC%20CR\CC%20efforts%20Enigma%20CR%20STC%20NFV%20%20Expansion%20V4.xlsx" TargetMode="External"/><Relationship Id="rId1" Type="http://schemas.openxmlformats.org/officeDocument/2006/relationships/externalLinkPath" Target="file:///C:\vikas\Project\vikas\CR04%20V22,%20LI%20and%20%20LBS\STC%20CR\CC%20efforts%20Enigma%20CR%20STC%20NFV%20%20Expansion%20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 CI"/>
      <sheetName val="CYBER"/>
      <sheetName val="CYBER Chassis"/>
      <sheetName val="Non-VM CYBER Output"/>
      <sheetName val="Non-VM CYBER Pivot"/>
      <sheetName val="FE CI Pivot"/>
      <sheetName val="RELIANT"/>
      <sheetName val="STAR-GATE"/>
      <sheetName val="SG Data"/>
      <sheetName val="FE CI Output"/>
      <sheetName val="Assumptions"/>
      <sheetName val="Timeline"/>
      <sheetName val="CC Efforts Summary"/>
      <sheetName val="CC HC"/>
      <sheetName val="Travel - Basic"/>
      <sheetName val="Subcontractors"/>
      <sheetName val="CAPEX "/>
      <sheetName val="Shipping "/>
      <sheetName val="SG Deliverables"/>
      <sheetName val="MFD"/>
      <sheetName val="NetFlow"/>
      <sheetName val="APB"/>
      <sheetName val="CBS"/>
      <sheetName val="Storage Workload"/>
      <sheetName val="Cyber Landing Zone"/>
      <sheetName val="CYBER Parameters"/>
      <sheetName val="Updates"/>
      <sheetName val="System flow"/>
      <sheetName val="LUT"/>
      <sheetName val="Subsystem List"/>
      <sheetName val="Subsystem SW List"/>
      <sheetName val="Physical Servers HW &amp; SW list"/>
      <sheetName val="Packages"/>
      <sheetName val="Parameters"/>
      <sheetName val="Calc Solution Log"/>
      <sheetName val="Subsystems Copy"/>
      <sheetName val="VM solution updated"/>
      <sheetName val="3rd Party List Updated"/>
      <sheetName val="3rd Party Summary Updated"/>
      <sheetName val="Central Storage Parameters"/>
      <sheetName val="SG SW Costs"/>
      <sheetName val="SG Rules"/>
      <sheetName val="Production Summary"/>
      <sheetName val="FE Parameters"/>
      <sheetName val="Agile"/>
      <sheetName val="New Agile"/>
      <sheetName val="Racks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">
          <cell r="B1" t="str">
            <v>Calculated value</v>
          </cell>
          <cell r="Q1" t="str">
            <v>For Central Storage dropdown list</v>
          </cell>
          <cell r="S1" t="str">
            <v>For Central Storage dropdown list</v>
          </cell>
          <cell r="KK1" t="str">
            <v xml:space="preserve">SW Name: Stand Alone GPS Network Time Server </v>
          </cell>
        </row>
        <row r="2">
          <cell r="U2" t="str">
            <v>Servers</v>
          </cell>
          <cell r="FW2" t="str">
            <v>Server Name Dropdown list by product type</v>
          </cell>
          <cell r="KK2" t="str">
            <v>NTP_Device_Options</v>
          </cell>
          <cell r="KS2" t="str">
            <v>MASS IP - list for SAU-AAA Server required filed</v>
          </cell>
          <cell r="NI2" t="str">
            <v>CC Efforts</v>
          </cell>
          <cell r="NP2" t="str">
            <v>Pricing tab - Mapping table (titles)</v>
          </cell>
        </row>
        <row r="3">
          <cell r="A3" t="str">
            <v>VBW Product Version</v>
          </cell>
          <cell r="B3" t="str">
            <v>Reliant Product Version</v>
          </cell>
          <cell r="C3" t="str">
            <v>STARGATE Product Version</v>
          </cell>
          <cell r="D3" t="str">
            <v>CYBER Product Version</v>
          </cell>
          <cell r="E3" t="str">
            <v>Redundancy</v>
          </cell>
          <cell r="F3" t="str">
            <v>Input_Type</v>
          </cell>
          <cell r="Q3" t="str">
            <v>SAS_disk_size</v>
          </cell>
          <cell r="S3" t="str">
            <v>SATA_disk_size</v>
          </cell>
          <cell r="U3" t="str">
            <v>Server Name</v>
          </cell>
          <cell r="AW3" t="str">
            <v>Number_Of_Speakers</v>
          </cell>
          <cell r="AY3" t="str">
            <v>Product Type</v>
          </cell>
          <cell r="BI3" t="str">
            <v>Conjoint_and_Routine_Analysis</v>
          </cell>
          <cell r="FW3" t="str">
            <v>RELIANT Servers</v>
          </cell>
          <cell r="FX3" t="str">
            <v>MASS Servers</v>
          </cell>
          <cell r="FY3" t="str">
            <v>VANTAGE Servers</v>
          </cell>
          <cell r="FZ3" t="str">
            <v>STAR-GATE Servers</v>
          </cell>
          <cell r="GA3" t="str">
            <v>RELIANT &amp; STAR-GATE Servers</v>
          </cell>
          <cell r="GB3" t="str">
            <v>CYBER Servers</v>
          </cell>
          <cell r="KK3" t="str">
            <v>CFE</v>
          </cell>
          <cell r="KS3" t="str">
            <v>CRS Radius</v>
          </cell>
          <cell r="NI3" t="str">
            <v>CC Role</v>
          </cell>
          <cell r="NK3" t="str">
            <v>CC Location</v>
          </cell>
          <cell r="NP3" t="str">
            <v>Tab name</v>
          </cell>
          <cell r="NZ3" t="str">
            <v>Currency Code</v>
          </cell>
          <cell r="OB3" t="str">
            <v>Stream</v>
          </cell>
          <cell r="OD3" t="str">
            <v>Product Name</v>
          </cell>
        </row>
        <row r="4">
          <cell r="A4" t="str">
            <v>MASS 10.0</v>
          </cell>
          <cell r="B4" t="str">
            <v>RELIANT 10.4 SP1</v>
          </cell>
          <cell r="C4" t="str">
            <v>STAR-GATE 6.3</v>
          </cell>
          <cell r="D4" t="str">
            <v>CYBER 1.0</v>
          </cell>
          <cell r="E4" t="str">
            <v>No</v>
          </cell>
          <cell r="F4" t="str">
            <v>PSTN + Mobile Telephony Calls (Voice)</v>
          </cell>
          <cell r="Q4">
            <v>0</v>
          </cell>
          <cell r="S4">
            <v>0</v>
          </cell>
          <cell r="U4" t="str">
            <v>DL360  G7_2660Mhz</v>
          </cell>
          <cell r="AW4">
            <v>200</v>
          </cell>
          <cell r="AY4" t="str">
            <v>RELIANT</v>
          </cell>
          <cell r="BI4" t="str">
            <v>Conjoint analysis</v>
          </cell>
          <cell r="FW4" t="str">
            <v>Dell_R630 _2200Mhz</v>
          </cell>
          <cell r="FX4" t="str">
            <v>Dell_R630 _2200Mhz</v>
          </cell>
          <cell r="FY4" t="str">
            <v>Dell_R630 _2200Mhz</v>
          </cell>
          <cell r="FZ4" t="str">
            <v>Dell_R630 _1700Mhz</v>
          </cell>
          <cell r="GA4" t="str">
            <v>Dell_R630 _2200Mhz</v>
          </cell>
          <cell r="GB4" t="str">
            <v>Dell_FC630 Blade_2200Mhz</v>
          </cell>
          <cell r="KK4" t="str">
            <v>Up to 20m</v>
          </cell>
          <cell r="KS4" t="str">
            <v>CRS GTP</v>
          </cell>
          <cell r="NI4" t="str">
            <v>PM</v>
          </cell>
          <cell r="NK4" t="str">
            <v>Verint</v>
          </cell>
          <cell r="NP4" t="str">
            <v>3rd Party Summary</v>
          </cell>
          <cell r="NZ4" t="str">
            <v>USD</v>
          </cell>
          <cell r="OB4" t="str">
            <v>VERINT Software Licenses</v>
          </cell>
          <cell r="OD4" t="str">
            <v>Cable explorer</v>
          </cell>
        </row>
        <row r="5">
          <cell r="A5" t="str">
            <v>MASS 6.0</v>
          </cell>
          <cell r="B5" t="str">
            <v>RELIANT 11.0</v>
          </cell>
          <cell r="E5" t="str">
            <v>Yes</v>
          </cell>
          <cell r="F5" t="str">
            <v>PSTN + Fax &amp; Modem &amp; UDI</v>
          </cell>
          <cell r="Q5">
            <v>900</v>
          </cell>
          <cell r="S5">
            <v>2000</v>
          </cell>
          <cell r="U5" t="str">
            <v>DL360p Gen 8_2200Mhz</v>
          </cell>
          <cell r="AW5">
            <v>1000</v>
          </cell>
          <cell r="AY5" t="str">
            <v>MASS</v>
          </cell>
          <cell r="BI5" t="str">
            <v>Routine analysis</v>
          </cell>
          <cell r="FW5" t="str">
            <v>Dell_R630 _1700Mhz</v>
          </cell>
          <cell r="FX5" t="str">
            <v>Dell_R630 _1700Mhz</v>
          </cell>
          <cell r="FY5" t="str">
            <v>Dell_R630 _1700Mhz</v>
          </cell>
          <cell r="FZ5" t="str">
            <v>Dell_R630 _2200Mhz</v>
          </cell>
          <cell r="GA5" t="str">
            <v>Dell_R630 _1700Mhz</v>
          </cell>
          <cell r="GB5" t="str">
            <v>Dell_R630 _1700Mhz</v>
          </cell>
          <cell r="KK5" t="str">
            <v>Above 20m</v>
          </cell>
          <cell r="KS5" t="str">
            <v>CRS MAC</v>
          </cell>
          <cell r="NI5" t="str">
            <v xml:space="preserve">Presale engineer </v>
          </cell>
          <cell r="NK5" t="str">
            <v>Local-India</v>
          </cell>
          <cell r="NP5" t="str">
            <v>Accessories</v>
          </cell>
          <cell r="NZ5" t="str">
            <v>AUD</v>
          </cell>
          <cell r="OB5" t="str">
            <v>VERINT Embedded Appliances</v>
          </cell>
          <cell r="OD5" t="str">
            <v>Globus</v>
          </cell>
        </row>
        <row r="6">
          <cell r="B6" t="str">
            <v>RELIANT 11.0 SP1</v>
          </cell>
          <cell r="F6" t="str">
            <v>Telephony (Analog Lines) - Telemux/SIM input</v>
          </cell>
          <cell r="Q6">
            <v>1200</v>
          </cell>
          <cell r="S6">
            <v>4000</v>
          </cell>
          <cell r="U6" t="str">
            <v>Dell_FC630 Blade_2200Mhz</v>
          </cell>
          <cell r="AY6" t="str">
            <v>VANTAGE</v>
          </cell>
          <cell r="BI6" t="str">
            <v>Both</v>
          </cell>
          <cell r="FW6" t="str">
            <v>Dell_FC630 Blade_2200Mhz</v>
          </cell>
          <cell r="FX6" t="str">
            <v>Dell_FC630 Blade_2200Mhz</v>
          </cell>
          <cell r="FY6" t="str">
            <v>Dell_FC630 Blade_2200Mhz</v>
          </cell>
          <cell r="GA6" t="str">
            <v>Dell_FC630 Blade_2200Mhz</v>
          </cell>
          <cell r="GB6" t="str">
            <v>Dell_R630 _2200Mhz</v>
          </cell>
          <cell r="NI6" t="str">
            <v>Deployment engineers</v>
          </cell>
          <cell r="NK6" t="str">
            <v>Local-SELA</v>
          </cell>
          <cell r="NP6" t="str">
            <v>Communication</v>
          </cell>
          <cell r="NZ6" t="str">
            <v>CAD</v>
          </cell>
          <cell r="OB6" t="str">
            <v>3rd Party BOM</v>
          </cell>
          <cell r="OD6" t="str">
            <v>Magellan</v>
          </cell>
        </row>
        <row r="7">
          <cell r="B7" t="str">
            <v>RELIANT 12.0</v>
          </cell>
          <cell r="F7" t="str">
            <v>Telephony VoIP (Managed VoIP - CS Behavior )</v>
          </cell>
          <cell r="Q7">
            <v>1800</v>
          </cell>
          <cell r="S7">
            <v>6000</v>
          </cell>
          <cell r="U7" t="str">
            <v>Dell_R630 _1700Mhz</v>
          </cell>
          <cell r="AY7" t="str">
            <v>CYBER</v>
          </cell>
          <cell r="FW7" t="str">
            <v>DL360p Gen 8_2200Mhz</v>
          </cell>
          <cell r="FX7" t="str">
            <v>DL360p Gen 8_2200Mhz</v>
          </cell>
          <cell r="FY7" t="str">
            <v>DL360p Gen 8_2200Mhz</v>
          </cell>
          <cell r="GA7" t="str">
            <v>DL360p Gen 8_2200Mhz</v>
          </cell>
          <cell r="GB7" t="str">
            <v>Dell_FC430 Blade_2200Mhz</v>
          </cell>
          <cell r="NI7" t="str">
            <v>Local FSEs</v>
          </cell>
          <cell r="NK7" t="str">
            <v>Local-WE</v>
          </cell>
          <cell r="NP7" t="str">
            <v>Central Storage Configuration</v>
          </cell>
          <cell r="NZ7" t="str">
            <v>EUR</v>
          </cell>
          <cell r="OD7" t="str">
            <v>NetGuard</v>
          </cell>
        </row>
        <row r="8">
          <cell r="B8" t="str">
            <v>RELIANT 15.0</v>
          </cell>
          <cell r="F8" t="str">
            <v>Mobile Packet Data (GPRS/UMTS)</v>
          </cell>
          <cell r="S8">
            <v>8000</v>
          </cell>
          <cell r="U8" t="str">
            <v>Dell_R630 _2200Mhz</v>
          </cell>
          <cell r="FW8" t="str">
            <v>DL360  G7_2660Mhz</v>
          </cell>
          <cell r="FX8" t="str">
            <v>DL360  G7_2660Mhz</v>
          </cell>
          <cell r="FY8" t="str">
            <v>DL360  G7_2660Mhz</v>
          </cell>
          <cell r="GA8" t="str">
            <v>DL360  G7_2660Mhz</v>
          </cell>
          <cell r="NI8" t="str">
            <v>Network engineer</v>
          </cell>
          <cell r="NK8" t="str">
            <v>Local-NA</v>
          </cell>
          <cell r="NP8" t="str">
            <v>Packages</v>
          </cell>
          <cell r="NZ8" t="str">
            <v>NZD</v>
          </cell>
          <cell r="OD8" t="str">
            <v>RELIANT 10.4</v>
          </cell>
        </row>
        <row r="9">
          <cell r="F9" t="str">
            <v>IP (Broadband, email, internet)</v>
          </cell>
          <cell r="U9" t="str">
            <v>Dell_FC430 Blade_2200Mhz</v>
          </cell>
          <cell r="NI9" t="str">
            <v>NPI engineers</v>
          </cell>
          <cell r="NK9" t="str">
            <v xml:space="preserve">Suntech </v>
          </cell>
          <cell r="NP9" t="str">
            <v>Physical Servers HW &amp; SW list</v>
          </cell>
          <cell r="NZ9" t="str">
            <v>NOK</v>
          </cell>
          <cell r="OD9" t="str">
            <v>RELIANT 11 SP1</v>
          </cell>
        </row>
        <row r="10">
          <cell r="F10" t="str">
            <v>Historical Data collection</v>
          </cell>
          <cell r="NI10" t="str">
            <v>OCF</v>
          </cell>
          <cell r="NP10" t="str">
            <v>SG Deliverables</v>
          </cell>
          <cell r="NZ10" t="str">
            <v>PEN</v>
          </cell>
          <cell r="OD10" t="str">
            <v>RELIANT 12</v>
          </cell>
        </row>
        <row r="11">
          <cell r="NI11" t="str">
            <v>Mechanical engineers</v>
          </cell>
          <cell r="NZ11" t="str">
            <v>GBP</v>
          </cell>
          <cell r="OD11" t="str">
            <v>RELIANT X</v>
          </cell>
        </row>
        <row r="12">
          <cell r="NI12" t="str">
            <v>Trainer</v>
          </cell>
          <cell r="NZ12" t="str">
            <v>BRL</v>
          </cell>
          <cell r="OD12" t="str">
            <v>Sat Explorer</v>
          </cell>
        </row>
        <row r="13">
          <cell r="NI13" t="str">
            <v>Other</v>
          </cell>
          <cell r="NZ13" t="str">
            <v>INR</v>
          </cell>
          <cell r="OD13" t="str">
            <v>Star Gate</v>
          </cell>
        </row>
        <row r="14">
          <cell r="NZ14" t="str">
            <v>CHF</v>
          </cell>
          <cell r="OD14" t="str">
            <v>TeraBright</v>
          </cell>
        </row>
        <row r="15">
          <cell r="NZ15" t="str">
            <v>SGD</v>
          </cell>
          <cell r="OD15" t="str">
            <v>Vantage 5</v>
          </cell>
        </row>
        <row r="16">
          <cell r="AY16" t="str">
            <v>RELIANT</v>
          </cell>
          <cell r="NZ16" t="str">
            <v>SEK</v>
          </cell>
          <cell r="OD16" t="str">
            <v>Vantage 6</v>
          </cell>
        </row>
        <row r="17">
          <cell r="AY17" t="str">
            <v>MASS</v>
          </cell>
          <cell r="NZ17" t="str">
            <v>ILS</v>
          </cell>
          <cell r="OD17" t="str">
            <v>Vantage Fixed Satellite</v>
          </cell>
        </row>
        <row r="18">
          <cell r="AY18" t="str">
            <v>VANTAGE</v>
          </cell>
          <cell r="NZ18" t="str">
            <v>CNY</v>
          </cell>
          <cell r="OD18" t="str">
            <v>Vantage Mobile Satellite</v>
          </cell>
        </row>
        <row r="19">
          <cell r="AY19" t="str">
            <v>STAR-GATE</v>
          </cell>
          <cell r="NZ19" t="str">
            <v>TWD</v>
          </cell>
          <cell r="OD19" t="str">
            <v>Vantage X</v>
          </cell>
        </row>
        <row r="20">
          <cell r="AY20" t="str">
            <v>RELIANT &amp; STAR-GATE</v>
          </cell>
          <cell r="NZ20" t="str">
            <v>HKD</v>
          </cell>
        </row>
        <row r="21">
          <cell r="AY21" t="str">
            <v>CYBER</v>
          </cell>
          <cell r="NZ21" t="str">
            <v>JPY</v>
          </cell>
        </row>
        <row r="23">
          <cell r="AY23" t="str">
            <v>STAR-GATE</v>
          </cell>
        </row>
        <row r="24">
          <cell r="AY24" t="str">
            <v>RELIANT &amp; STAR-GATE</v>
          </cell>
        </row>
      </sheetData>
      <sheetData sheetId="29"/>
      <sheetData sheetId="30"/>
      <sheetData sheetId="31"/>
      <sheetData sheetId="32"/>
      <sheetData sheetId="33">
        <row r="147">
          <cell r="C147" t="e">
            <v>#REF!</v>
          </cell>
        </row>
      </sheetData>
      <sheetData sheetId="34"/>
      <sheetData sheetId="35"/>
      <sheetData sheetId="36"/>
      <sheetData sheetId="37">
        <row r="8">
          <cell r="B8" t="str">
            <v>Product Version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911F1-A763-4911-9D0C-97031690F819}">
  <dimension ref="A1:EA8"/>
  <sheetViews>
    <sheetView tabSelected="1" topLeftCell="CJ1" zoomScale="80" zoomScaleNormal="80" workbookViewId="0">
      <selection activeCell="CT4" sqref="CT4"/>
    </sheetView>
  </sheetViews>
  <sheetFormatPr defaultRowHeight="15" x14ac:dyDescent="0.25"/>
  <cols>
    <col min="1" max="1" width="23" bestFit="1" customWidth="1"/>
    <col min="2" max="2" width="10.5703125" customWidth="1"/>
    <col min="11" max="11" width="8.7109375" customWidth="1"/>
  </cols>
  <sheetData>
    <row r="1" spans="1:131" ht="24.75" thickBot="1" x14ac:dyDescent="0.45">
      <c r="A1" s="1" t="s">
        <v>0</v>
      </c>
      <c r="B1" s="12">
        <v>46026</v>
      </c>
      <c r="C1" s="13"/>
      <c r="D1" s="13"/>
      <c r="E1" s="13"/>
      <c r="F1" s="13"/>
      <c r="G1" s="12">
        <f>B1+7</f>
        <v>46033</v>
      </c>
      <c r="H1" s="13"/>
      <c r="I1" s="13"/>
      <c r="J1" s="13"/>
      <c r="K1" s="13"/>
      <c r="L1" s="12">
        <f>G1+7</f>
        <v>46040</v>
      </c>
      <c r="M1" s="13"/>
      <c r="N1" s="13"/>
      <c r="O1" s="13"/>
      <c r="P1" s="13"/>
      <c r="Q1" s="12">
        <f>L1+7</f>
        <v>46047</v>
      </c>
      <c r="R1" s="13"/>
      <c r="S1" s="13"/>
      <c r="T1" s="13"/>
      <c r="U1" s="13"/>
      <c r="V1" s="12">
        <f>Q1+7</f>
        <v>46054</v>
      </c>
      <c r="W1" s="13"/>
      <c r="X1" s="13"/>
      <c r="Y1" s="13"/>
      <c r="Z1" s="13"/>
      <c r="AA1" s="12">
        <f>V1+7</f>
        <v>46061</v>
      </c>
      <c r="AB1" s="13"/>
      <c r="AC1" s="13"/>
      <c r="AD1" s="13"/>
      <c r="AE1" s="13"/>
      <c r="AF1" s="12">
        <f>AA1+7</f>
        <v>46068</v>
      </c>
      <c r="AG1" s="13"/>
      <c r="AH1" s="13"/>
      <c r="AI1" s="13"/>
      <c r="AJ1" s="13"/>
      <c r="AK1" s="12">
        <f>AF1+7</f>
        <v>46075</v>
      </c>
      <c r="AL1" s="13"/>
      <c r="AM1" s="13"/>
      <c r="AN1" s="13"/>
      <c r="AO1" s="13"/>
      <c r="AP1" s="12">
        <f>AK1+7</f>
        <v>46082</v>
      </c>
      <c r="AQ1" s="13"/>
      <c r="AR1" s="13"/>
      <c r="AS1" s="13"/>
      <c r="AT1" s="13"/>
      <c r="AU1" s="12">
        <f>AP1+7</f>
        <v>46089</v>
      </c>
      <c r="AV1" s="13"/>
      <c r="AW1" s="13"/>
      <c r="AX1" s="13"/>
      <c r="AY1" s="13"/>
      <c r="AZ1" s="12">
        <f>AU1+7</f>
        <v>46096</v>
      </c>
      <c r="BA1" s="13"/>
      <c r="BB1" s="13"/>
      <c r="BC1" s="13"/>
      <c r="BD1" s="13"/>
      <c r="BE1" s="12">
        <f>AZ1+7</f>
        <v>46103</v>
      </c>
      <c r="BF1" s="13"/>
      <c r="BG1" s="13"/>
      <c r="BH1" s="13"/>
      <c r="BI1" s="13"/>
      <c r="BJ1" s="12">
        <f>BE1+7</f>
        <v>46110</v>
      </c>
      <c r="BK1" s="13"/>
      <c r="BL1" s="13"/>
      <c r="BM1" s="13"/>
      <c r="BN1" s="13"/>
      <c r="BO1" s="12">
        <f>BJ1+7</f>
        <v>46117</v>
      </c>
      <c r="BP1" s="13"/>
      <c r="BQ1" s="13"/>
      <c r="BR1" s="13"/>
      <c r="BS1" s="13"/>
      <c r="BT1" s="12">
        <f>BO1+7</f>
        <v>46124</v>
      </c>
      <c r="BU1" s="13"/>
      <c r="BV1" s="13"/>
      <c r="BW1" s="13"/>
      <c r="BX1" s="13"/>
      <c r="BY1" s="12">
        <f>BT1+7</f>
        <v>46131</v>
      </c>
      <c r="BZ1" s="13"/>
      <c r="CA1" s="13"/>
      <c r="CB1" s="13"/>
      <c r="CC1" s="13"/>
      <c r="CD1" s="12">
        <f>BY1+7</f>
        <v>46138</v>
      </c>
      <c r="CE1" s="13"/>
      <c r="CF1" s="13"/>
      <c r="CG1" s="13"/>
      <c r="CH1" s="13"/>
      <c r="CI1" s="12">
        <f>CD1+7</f>
        <v>46145</v>
      </c>
      <c r="CJ1" s="13"/>
      <c r="CK1" s="13"/>
      <c r="CL1" s="13"/>
      <c r="CM1" s="13"/>
      <c r="CN1" s="12">
        <f>CI1+7</f>
        <v>46152</v>
      </c>
      <c r="CO1" s="13"/>
      <c r="CP1" s="13"/>
      <c r="CQ1" s="13"/>
      <c r="CR1" s="13"/>
      <c r="CS1" s="12">
        <f>CN1+7</f>
        <v>46159</v>
      </c>
      <c r="CT1" s="13"/>
      <c r="CU1" s="13"/>
      <c r="CV1" s="13"/>
      <c r="CW1" s="13"/>
      <c r="CX1" s="12">
        <f>CS1+7</f>
        <v>46166</v>
      </c>
      <c r="CY1" s="13"/>
      <c r="CZ1" s="13"/>
      <c r="DA1" s="13"/>
      <c r="DB1" s="13"/>
      <c r="DC1" s="12">
        <f>CX1+7</f>
        <v>46173</v>
      </c>
      <c r="DD1" s="13"/>
      <c r="DE1" s="13"/>
      <c r="DF1" s="13"/>
      <c r="DG1" s="13"/>
      <c r="DH1" s="12">
        <f>DC1+7</f>
        <v>46180</v>
      </c>
      <c r="DI1" s="13"/>
      <c r="DJ1" s="13"/>
      <c r="DK1" s="13"/>
      <c r="DL1" s="13"/>
      <c r="DM1" s="12">
        <f>DH1+7</f>
        <v>46187</v>
      </c>
      <c r="DN1" s="13"/>
      <c r="DO1" s="13"/>
      <c r="DP1" s="13"/>
      <c r="DQ1" s="13"/>
      <c r="DR1" s="12">
        <f>DM1+7</f>
        <v>46194</v>
      </c>
      <c r="DS1" s="13"/>
      <c r="DT1" s="13"/>
      <c r="DU1" s="13"/>
      <c r="DV1" s="13"/>
      <c r="DW1" s="12">
        <f>DR1+7</f>
        <v>46201</v>
      </c>
      <c r="DX1" s="13"/>
      <c r="DY1" s="13"/>
      <c r="DZ1" s="13"/>
      <c r="EA1" s="13"/>
    </row>
    <row r="2" spans="1:131" ht="39.950000000000003" customHeight="1" thickBot="1" x14ac:dyDescent="0.45">
      <c r="A2" s="2" t="s">
        <v>1</v>
      </c>
      <c r="B2" s="12">
        <f>B1+6</f>
        <v>46032</v>
      </c>
      <c r="C2" s="13"/>
      <c r="D2" s="13"/>
      <c r="E2" s="13"/>
      <c r="F2" s="13"/>
      <c r="G2" s="12">
        <f>G1+6</f>
        <v>46039</v>
      </c>
      <c r="H2" s="13"/>
      <c r="I2" s="13"/>
      <c r="J2" s="13"/>
      <c r="K2" s="13"/>
      <c r="L2" s="12">
        <f t="shared" ref="L2" si="0">L1+6</f>
        <v>46046</v>
      </c>
      <c r="M2" s="13"/>
      <c r="N2" s="13"/>
      <c r="O2" s="13"/>
      <c r="P2" s="13"/>
      <c r="Q2" s="12">
        <f t="shared" ref="Q2" si="1">Q1+6</f>
        <v>46053</v>
      </c>
      <c r="R2" s="13"/>
      <c r="S2" s="13"/>
      <c r="T2" s="13"/>
      <c r="U2" s="13"/>
      <c r="V2" s="12">
        <f t="shared" ref="V2" si="2">V1+6</f>
        <v>46060</v>
      </c>
      <c r="W2" s="13"/>
      <c r="X2" s="13"/>
      <c r="Y2" s="13"/>
      <c r="Z2" s="13"/>
      <c r="AA2" s="12">
        <f t="shared" ref="AA2" si="3">AA1+6</f>
        <v>46067</v>
      </c>
      <c r="AB2" s="13"/>
      <c r="AC2" s="13"/>
      <c r="AD2" s="13"/>
      <c r="AE2" s="13"/>
      <c r="AF2" s="12">
        <f t="shared" ref="AF2" si="4">AF1+6</f>
        <v>46074</v>
      </c>
      <c r="AG2" s="13"/>
      <c r="AH2" s="13"/>
      <c r="AI2" s="13"/>
      <c r="AJ2" s="13"/>
      <c r="AK2" s="12">
        <f t="shared" ref="AK2" si="5">AK1+6</f>
        <v>46081</v>
      </c>
      <c r="AL2" s="13"/>
      <c r="AM2" s="13"/>
      <c r="AN2" s="13"/>
      <c r="AO2" s="13"/>
      <c r="AP2" s="12">
        <f t="shared" ref="AP2" si="6">AP1+6</f>
        <v>46088</v>
      </c>
      <c r="AQ2" s="13"/>
      <c r="AR2" s="13"/>
      <c r="AS2" s="13"/>
      <c r="AT2" s="13"/>
      <c r="AU2" s="12">
        <f t="shared" ref="AU2" si="7">AU1+6</f>
        <v>46095</v>
      </c>
      <c r="AV2" s="13"/>
      <c r="AW2" s="13"/>
      <c r="AX2" s="13"/>
      <c r="AY2" s="13"/>
      <c r="AZ2" s="12">
        <f t="shared" ref="AZ2" si="8">AZ1+6</f>
        <v>46102</v>
      </c>
      <c r="BA2" s="13"/>
      <c r="BB2" s="13"/>
      <c r="BC2" s="13"/>
      <c r="BD2" s="13"/>
      <c r="BE2" s="12">
        <f t="shared" ref="BE2" si="9">BE1+6</f>
        <v>46109</v>
      </c>
      <c r="BF2" s="13"/>
      <c r="BG2" s="13"/>
      <c r="BH2" s="13"/>
      <c r="BI2" s="13"/>
      <c r="BJ2" s="12">
        <f t="shared" ref="BJ2" si="10">BJ1+6</f>
        <v>46116</v>
      </c>
      <c r="BK2" s="13"/>
      <c r="BL2" s="13"/>
      <c r="BM2" s="13"/>
      <c r="BN2" s="13"/>
      <c r="BO2" s="12">
        <f t="shared" ref="BO2" si="11">BO1+6</f>
        <v>46123</v>
      </c>
      <c r="BP2" s="13"/>
      <c r="BQ2" s="13"/>
      <c r="BR2" s="13"/>
      <c r="BS2" s="13"/>
      <c r="BT2" s="12">
        <f t="shared" ref="BT2" si="12">BT1+6</f>
        <v>46130</v>
      </c>
      <c r="BU2" s="13"/>
      <c r="BV2" s="13"/>
      <c r="BW2" s="13"/>
      <c r="BX2" s="13"/>
      <c r="BY2" s="12">
        <f t="shared" ref="BY2" si="13">BY1+6</f>
        <v>46137</v>
      </c>
      <c r="BZ2" s="13"/>
      <c r="CA2" s="13"/>
      <c r="CB2" s="13"/>
      <c r="CC2" s="13"/>
      <c r="CD2" s="12">
        <f t="shared" ref="CD2" si="14">CD1+6</f>
        <v>46144</v>
      </c>
      <c r="CE2" s="13"/>
      <c r="CF2" s="13"/>
      <c r="CG2" s="13"/>
      <c r="CH2" s="13"/>
      <c r="CI2" s="12">
        <f t="shared" ref="CI2" si="15">CI1+6</f>
        <v>46151</v>
      </c>
      <c r="CJ2" s="13"/>
      <c r="CK2" s="13"/>
      <c r="CL2" s="13"/>
      <c r="CM2" s="13"/>
      <c r="CN2" s="12">
        <f t="shared" ref="CN2" si="16">CN1+6</f>
        <v>46158</v>
      </c>
      <c r="CO2" s="13"/>
      <c r="CP2" s="13"/>
      <c r="CQ2" s="13"/>
      <c r="CR2" s="13"/>
      <c r="CS2" s="12">
        <f t="shared" ref="CS2" si="17">CS1+6</f>
        <v>46165</v>
      </c>
      <c r="CT2" s="13"/>
      <c r="CU2" s="13"/>
      <c r="CV2" s="13"/>
      <c r="CW2" s="13"/>
      <c r="CX2" s="12">
        <f t="shared" ref="CX2" si="18">CX1+6</f>
        <v>46172</v>
      </c>
      <c r="CY2" s="13"/>
      <c r="CZ2" s="13"/>
      <c r="DA2" s="13"/>
      <c r="DB2" s="13"/>
      <c r="DC2" s="12">
        <f t="shared" ref="DC2" si="19">DC1+6</f>
        <v>46179</v>
      </c>
      <c r="DD2" s="13"/>
      <c r="DE2" s="13"/>
      <c r="DF2" s="13"/>
      <c r="DG2" s="13"/>
      <c r="DH2" s="12">
        <f t="shared" ref="DH2" si="20">DH1+6</f>
        <v>46186</v>
      </c>
      <c r="DI2" s="13"/>
      <c r="DJ2" s="13"/>
      <c r="DK2" s="13"/>
      <c r="DL2" s="13"/>
      <c r="DM2" s="12">
        <f t="shared" ref="DM2" si="21">DM1+6</f>
        <v>46193</v>
      </c>
      <c r="DN2" s="13"/>
      <c r="DO2" s="13"/>
      <c r="DP2" s="13"/>
      <c r="DQ2" s="13"/>
      <c r="DR2" s="12">
        <f t="shared" ref="DR2" si="22">DR1+6</f>
        <v>46200</v>
      </c>
      <c r="DS2" s="13"/>
      <c r="DT2" s="13"/>
      <c r="DU2" s="13"/>
      <c r="DV2" s="13"/>
      <c r="DW2" s="12">
        <f t="shared" ref="DW2" si="23">DW1+6</f>
        <v>46207</v>
      </c>
      <c r="DX2" s="13"/>
      <c r="DY2" s="13"/>
      <c r="DZ2" s="13"/>
      <c r="EA2" s="13"/>
    </row>
    <row r="3" spans="1:131" ht="39.950000000000003" customHeight="1" x14ac:dyDescent="0.4">
      <c r="A3" s="2" t="s">
        <v>2</v>
      </c>
      <c r="B3" s="14" t="s">
        <v>39</v>
      </c>
      <c r="C3" s="15"/>
      <c r="D3" s="15"/>
      <c r="E3" s="15"/>
      <c r="F3" s="16"/>
      <c r="G3" s="14" t="s">
        <v>40</v>
      </c>
      <c r="H3" s="15"/>
      <c r="I3" s="15"/>
      <c r="J3" s="15"/>
      <c r="K3" s="16"/>
      <c r="L3" s="14" t="s">
        <v>5</v>
      </c>
      <c r="M3" s="15"/>
      <c r="N3" s="15"/>
      <c r="O3" s="15"/>
      <c r="P3" s="16"/>
      <c r="Q3" s="14" t="s">
        <v>3</v>
      </c>
      <c r="R3" s="15"/>
      <c r="S3" s="15"/>
      <c r="T3" s="15"/>
      <c r="U3" s="16"/>
      <c r="V3" s="14" t="s">
        <v>39</v>
      </c>
      <c r="W3" s="15"/>
      <c r="X3" s="15"/>
      <c r="Y3" s="15"/>
      <c r="Z3" s="16"/>
      <c r="AA3" s="14" t="s">
        <v>4</v>
      </c>
      <c r="AB3" s="15"/>
      <c r="AC3" s="15"/>
      <c r="AD3" s="15"/>
      <c r="AE3" s="16"/>
      <c r="AF3" s="14" t="s">
        <v>5</v>
      </c>
      <c r="AG3" s="15"/>
      <c r="AH3" s="15"/>
      <c r="AI3" s="15"/>
      <c r="AJ3" s="16"/>
      <c r="AK3" s="14" t="s">
        <v>6</v>
      </c>
      <c r="AL3" s="15"/>
      <c r="AM3" s="15"/>
      <c r="AN3" s="15"/>
      <c r="AO3" s="16"/>
      <c r="AP3" s="14" t="s">
        <v>7</v>
      </c>
      <c r="AQ3" s="15"/>
      <c r="AR3" s="15"/>
      <c r="AS3" s="15"/>
      <c r="AT3" s="16"/>
      <c r="AU3" s="14" t="s">
        <v>8</v>
      </c>
      <c r="AV3" s="15"/>
      <c r="AW3" s="15"/>
      <c r="AX3" s="15"/>
      <c r="AY3" s="16"/>
      <c r="AZ3" s="14" t="s">
        <v>9</v>
      </c>
      <c r="BA3" s="15"/>
      <c r="BB3" s="15"/>
      <c r="BC3" s="15"/>
      <c r="BD3" s="16"/>
      <c r="BE3" s="14" t="s">
        <v>10</v>
      </c>
      <c r="BF3" s="15"/>
      <c r="BG3" s="15"/>
      <c r="BH3" s="15"/>
      <c r="BI3" s="16"/>
      <c r="BJ3" s="14" t="s">
        <v>11</v>
      </c>
      <c r="BK3" s="15"/>
      <c r="BL3" s="15"/>
      <c r="BM3" s="15"/>
      <c r="BN3" s="16"/>
      <c r="BO3" s="14" t="s">
        <v>12</v>
      </c>
      <c r="BP3" s="15"/>
      <c r="BQ3" s="15"/>
      <c r="BR3" s="15"/>
      <c r="BS3" s="16"/>
      <c r="BT3" s="14" t="s">
        <v>13</v>
      </c>
      <c r="BU3" s="15"/>
      <c r="BV3" s="15"/>
      <c r="BW3" s="15"/>
      <c r="BX3" s="16"/>
      <c r="BY3" s="14" t="s">
        <v>14</v>
      </c>
      <c r="BZ3" s="15"/>
      <c r="CA3" s="15"/>
      <c r="CB3" s="15"/>
      <c r="CC3" s="16"/>
      <c r="CD3" s="14" t="s">
        <v>15</v>
      </c>
      <c r="CE3" s="15"/>
      <c r="CF3" s="15"/>
      <c r="CG3" s="15"/>
      <c r="CH3" s="16"/>
      <c r="CI3" s="14" t="s">
        <v>16</v>
      </c>
      <c r="CJ3" s="15"/>
      <c r="CK3" s="15"/>
      <c r="CL3" s="15"/>
      <c r="CM3" s="16"/>
      <c r="CN3" s="14" t="s">
        <v>17</v>
      </c>
      <c r="CO3" s="15"/>
      <c r="CP3" s="15"/>
      <c r="CQ3" s="15"/>
      <c r="CR3" s="16"/>
      <c r="CS3" s="14" t="s">
        <v>18</v>
      </c>
      <c r="CT3" s="15"/>
      <c r="CU3" s="15"/>
      <c r="CV3" s="15"/>
      <c r="CW3" s="16"/>
      <c r="CX3" s="14" t="s">
        <v>19</v>
      </c>
      <c r="CY3" s="15"/>
      <c r="CZ3" s="15"/>
      <c r="DA3" s="15"/>
      <c r="DB3" s="16"/>
      <c r="DC3" s="14" t="s">
        <v>20</v>
      </c>
      <c r="DD3" s="15"/>
      <c r="DE3" s="15"/>
      <c r="DF3" s="15"/>
      <c r="DG3" s="16"/>
      <c r="DH3" s="14" t="s">
        <v>21</v>
      </c>
      <c r="DI3" s="15"/>
      <c r="DJ3" s="15"/>
      <c r="DK3" s="15"/>
      <c r="DL3" s="16"/>
      <c r="DM3" s="14" t="s">
        <v>22</v>
      </c>
      <c r="DN3" s="15"/>
      <c r="DO3" s="15"/>
      <c r="DP3" s="15"/>
      <c r="DQ3" s="16"/>
      <c r="DR3" s="14" t="s">
        <v>23</v>
      </c>
      <c r="DS3" s="15"/>
      <c r="DT3" s="15"/>
      <c r="DU3" s="15"/>
      <c r="DV3" s="16"/>
      <c r="DW3" s="14" t="s">
        <v>24</v>
      </c>
      <c r="DX3" s="15"/>
      <c r="DY3" s="15"/>
      <c r="DZ3" s="15"/>
      <c r="EA3" s="16"/>
    </row>
    <row r="4" spans="1:131" ht="39.950000000000003" customHeight="1" x14ac:dyDescent="0.25">
      <c r="A4" s="3" t="s">
        <v>25</v>
      </c>
      <c r="B4" s="24" t="s">
        <v>26</v>
      </c>
      <c r="C4" s="25"/>
      <c r="D4" s="25"/>
      <c r="E4" s="25"/>
      <c r="F4" s="25"/>
      <c r="G4" s="26"/>
      <c r="H4" s="27"/>
      <c r="I4" s="27"/>
      <c r="J4" s="27"/>
      <c r="K4" s="27"/>
      <c r="L4" s="26"/>
      <c r="M4" s="27"/>
      <c r="N4" s="27"/>
      <c r="O4" s="27"/>
      <c r="P4" s="27"/>
      <c r="Q4" s="28" t="s">
        <v>27</v>
      </c>
      <c r="R4" s="28"/>
      <c r="S4" s="28"/>
      <c r="T4" s="28"/>
      <c r="U4" s="28"/>
      <c r="V4" s="29" t="s">
        <v>28</v>
      </c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</row>
    <row r="5" spans="1:131" s="6" customFormat="1" ht="39.950000000000003" customHeight="1" x14ac:dyDescent="0.25">
      <c r="A5" s="5" t="s">
        <v>29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I5"/>
      <c r="CJ5"/>
      <c r="CK5"/>
      <c r="CL5"/>
      <c r="CM5"/>
      <c r="CN5" s="21" t="s">
        <v>41</v>
      </c>
      <c r="CO5" s="22"/>
      <c r="CP5" s="22"/>
      <c r="CQ5" s="22"/>
      <c r="CR5" s="23"/>
    </row>
    <row r="6" spans="1:131" ht="39.950000000000003" customHeight="1" x14ac:dyDescent="0.35">
      <c r="A6" s="7" t="s">
        <v>30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I6" s="8" t="s">
        <v>31</v>
      </c>
      <c r="CJ6" s="8"/>
      <c r="CK6" s="8"/>
      <c r="CL6" s="8"/>
      <c r="CM6" s="8"/>
      <c r="CN6" s="8"/>
      <c r="CO6" s="8"/>
      <c r="CP6" s="8"/>
      <c r="CQ6" s="8"/>
      <c r="CR6" s="8"/>
      <c r="CS6" s="19" t="s">
        <v>32</v>
      </c>
      <c r="CT6" s="19"/>
      <c r="CU6" s="19"/>
      <c r="CV6" s="19"/>
      <c r="CW6" s="19"/>
      <c r="CX6" s="20" t="s">
        <v>33</v>
      </c>
      <c r="CY6" s="20"/>
      <c r="CZ6" s="20"/>
      <c r="DA6" s="20"/>
      <c r="DB6" s="20"/>
      <c r="DC6" s="20" t="s">
        <v>34</v>
      </c>
      <c r="DD6" s="20"/>
      <c r="DE6" s="20"/>
      <c r="DF6" s="20"/>
      <c r="DG6" s="20"/>
      <c r="DH6" s="20" t="s">
        <v>35</v>
      </c>
      <c r="DI6" s="20"/>
      <c r="DJ6" s="20"/>
      <c r="DK6" s="20"/>
      <c r="DL6" s="20"/>
      <c r="DM6" s="17" t="s">
        <v>36</v>
      </c>
      <c r="DN6" s="17"/>
      <c r="DO6" s="17"/>
      <c r="DP6" s="17"/>
      <c r="DQ6" s="17"/>
      <c r="DR6" s="17"/>
      <c r="DS6" s="17"/>
      <c r="DT6" s="17"/>
      <c r="DU6" s="17"/>
      <c r="DV6" s="17"/>
      <c r="DW6" s="18" t="s">
        <v>37</v>
      </c>
      <c r="DX6" s="18"/>
      <c r="DY6" s="18"/>
      <c r="DZ6" s="18"/>
      <c r="EA6" s="18"/>
    </row>
    <row r="7" spans="1:131" s="6" customFormat="1" ht="39.950000000000003" customHeight="1" x14ac:dyDescent="0.35">
      <c r="A7" s="9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1"/>
      <c r="CT7" s="11"/>
      <c r="CU7" s="11"/>
      <c r="CV7" s="11"/>
      <c r="CW7" s="11"/>
    </row>
    <row r="8" spans="1:131" ht="39.950000000000003" customHeight="1" x14ac:dyDescent="0.35">
      <c r="A8" s="7" t="s">
        <v>38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I8" s="8" t="s">
        <v>31</v>
      </c>
      <c r="CJ8" s="8"/>
      <c r="CK8" s="8"/>
      <c r="CL8" s="8"/>
      <c r="CM8" s="8"/>
      <c r="CN8" s="8"/>
      <c r="CO8" s="8"/>
      <c r="CP8" s="8"/>
      <c r="CQ8" s="8"/>
      <c r="CR8" s="8"/>
      <c r="CS8" s="19" t="s">
        <v>32</v>
      </c>
      <c r="CT8" s="19"/>
      <c r="CU8" s="19"/>
      <c r="CV8" s="19"/>
      <c r="CW8" s="19"/>
      <c r="CX8" s="20" t="s">
        <v>33</v>
      </c>
      <c r="CY8" s="20"/>
      <c r="CZ8" s="20"/>
      <c r="DA8" s="20"/>
      <c r="DB8" s="20"/>
      <c r="DC8" s="20" t="s">
        <v>34</v>
      </c>
      <c r="DD8" s="20"/>
      <c r="DE8" s="20"/>
      <c r="DF8" s="20"/>
      <c r="DG8" s="20"/>
      <c r="DH8" s="20" t="s">
        <v>35</v>
      </c>
      <c r="DI8" s="20"/>
      <c r="DJ8" s="20"/>
      <c r="DK8" s="20"/>
      <c r="DL8" s="20"/>
      <c r="DM8" s="17" t="s">
        <v>36</v>
      </c>
      <c r="DN8" s="17"/>
      <c r="DO8" s="17"/>
      <c r="DP8" s="17"/>
      <c r="DQ8" s="17"/>
      <c r="DR8" s="17"/>
      <c r="DS8" s="17"/>
      <c r="DT8" s="17"/>
      <c r="DU8" s="17"/>
      <c r="DV8" s="17"/>
      <c r="DW8" s="18" t="s">
        <v>37</v>
      </c>
      <c r="DX8" s="18"/>
      <c r="DY8" s="18"/>
      <c r="DZ8" s="18"/>
      <c r="EA8" s="18"/>
    </row>
  </sheetData>
  <mergeCells count="96">
    <mergeCell ref="AA1:AE1"/>
    <mergeCell ref="B1:F1"/>
    <mergeCell ref="G1:K1"/>
    <mergeCell ref="L1:P1"/>
    <mergeCell ref="Q1:U1"/>
    <mergeCell ref="V1:Z1"/>
    <mergeCell ref="CI1:CM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CN1:CR1"/>
    <mergeCell ref="CS1:CW1"/>
    <mergeCell ref="CX1:DB1"/>
    <mergeCell ref="DC1:DG1"/>
    <mergeCell ref="DH1:DL1"/>
    <mergeCell ref="AP2:AT2"/>
    <mergeCell ref="AU2:AY2"/>
    <mergeCell ref="AZ2:BD2"/>
    <mergeCell ref="BE2:BI2"/>
    <mergeCell ref="B2:F2"/>
    <mergeCell ref="G2:K2"/>
    <mergeCell ref="L2:P2"/>
    <mergeCell ref="Q2:U2"/>
    <mergeCell ref="V2:Z2"/>
    <mergeCell ref="AA2:AE2"/>
    <mergeCell ref="AA3:AE3"/>
    <mergeCell ref="DR2:DV2"/>
    <mergeCell ref="CN2:CR2"/>
    <mergeCell ref="CS2:CW2"/>
    <mergeCell ref="CX2:DB2"/>
    <mergeCell ref="DC2:DG2"/>
    <mergeCell ref="DH2:DL2"/>
    <mergeCell ref="DM2:DQ2"/>
    <mergeCell ref="BJ2:BN2"/>
    <mergeCell ref="BO2:BS2"/>
    <mergeCell ref="BT2:BX2"/>
    <mergeCell ref="BY2:CC2"/>
    <mergeCell ref="CD2:CH2"/>
    <mergeCell ref="CI2:CM2"/>
    <mergeCell ref="AF2:AJ2"/>
    <mergeCell ref="AK2:AO2"/>
    <mergeCell ref="B3:F3"/>
    <mergeCell ref="G3:K3"/>
    <mergeCell ref="L3:P3"/>
    <mergeCell ref="Q3:U3"/>
    <mergeCell ref="V3:Z3"/>
    <mergeCell ref="CI3:CM3"/>
    <mergeCell ref="AF3:AJ3"/>
    <mergeCell ref="AK3:AO3"/>
    <mergeCell ref="AP3:AT3"/>
    <mergeCell ref="AU3:AY3"/>
    <mergeCell ref="AZ3:BD3"/>
    <mergeCell ref="BE3:BI3"/>
    <mergeCell ref="BJ3:BN3"/>
    <mergeCell ref="BO3:BS3"/>
    <mergeCell ref="BT3:BX3"/>
    <mergeCell ref="BY3:CC3"/>
    <mergeCell ref="CD3:CH3"/>
    <mergeCell ref="CN3:CR3"/>
    <mergeCell ref="CS3:CW3"/>
    <mergeCell ref="CX3:DB3"/>
    <mergeCell ref="DC3:DG3"/>
    <mergeCell ref="DH3:DL3"/>
    <mergeCell ref="B4:F4"/>
    <mergeCell ref="G4:K4"/>
    <mergeCell ref="L4:P4"/>
    <mergeCell ref="Q4:U4"/>
    <mergeCell ref="V4:CH4"/>
    <mergeCell ref="DW8:EA8"/>
    <mergeCell ref="CN5:CR5"/>
    <mergeCell ref="CS6:CW6"/>
    <mergeCell ref="CX6:DB6"/>
    <mergeCell ref="DC6:DG6"/>
    <mergeCell ref="DH6:DL6"/>
    <mergeCell ref="CS8:CW8"/>
    <mergeCell ref="CX8:DB8"/>
    <mergeCell ref="DC8:DG8"/>
    <mergeCell ref="DH8:DL8"/>
    <mergeCell ref="DM8:DV8"/>
    <mergeCell ref="DW1:EA1"/>
    <mergeCell ref="DW2:EA2"/>
    <mergeCell ref="DW3:EA3"/>
    <mergeCell ref="DM6:DV6"/>
    <mergeCell ref="DW6:EA6"/>
    <mergeCell ref="DR3:DV3"/>
    <mergeCell ref="DM3:DQ3"/>
    <mergeCell ref="DR1:DV1"/>
    <mergeCell ref="DM1:DQ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85CB-AB6E-460A-BC50-4A0FF92A046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Sethi, Vikas</dc:creator>
  <cp:lastModifiedBy>Haver, Nesi</cp:lastModifiedBy>
  <dcterms:created xsi:type="dcterms:W3CDTF">2026-01-26T12:28:09Z</dcterms:created>
  <dcterms:modified xsi:type="dcterms:W3CDTF">2026-03-07T12:22:55Z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e00237-919f-4fc7-9a8c-91282f710a99_Enabled">
    <vt:lpwstr>true</vt:lpwstr>
  </property>
  <property fmtid="{D5CDD505-2E9C-101B-9397-08002B2CF9AE}" pid="3" name="MSIP_Label_05e00237-919f-4fc7-9a8c-91282f710a99_SetDate">
    <vt:lpwstr>2026-03-07T12:22:51Z</vt:lpwstr>
  </property>
  <property fmtid="{D5CDD505-2E9C-101B-9397-08002B2CF9AE}" pid="4" name="MSIP_Label_05e00237-919f-4fc7-9a8c-91282f710a99_Method">
    <vt:lpwstr>Privileged</vt:lpwstr>
  </property>
  <property fmtid="{D5CDD505-2E9C-101B-9397-08002B2CF9AE}" pid="5" name="MSIP_Label_05e00237-919f-4fc7-9a8c-91282f710a99_Name">
    <vt:lpwstr>Public</vt:lpwstr>
  </property>
  <property fmtid="{D5CDD505-2E9C-101B-9397-08002B2CF9AE}" pid="6" name="MSIP_Label_05e00237-919f-4fc7-9a8c-91282f710a99_SiteId">
    <vt:lpwstr>d689f9e5-4eb7-44b7-bd7d-705934cb0186</vt:lpwstr>
  </property>
  <property fmtid="{D5CDD505-2E9C-101B-9397-08002B2CF9AE}" pid="7" name="MSIP_Label_05e00237-919f-4fc7-9a8c-91282f710a99_ActionId">
    <vt:lpwstr>ed869686-847b-46f9-a370-dae1276acf3c</vt:lpwstr>
  </property>
  <property fmtid="{D5CDD505-2E9C-101B-9397-08002B2CF9AE}" pid="8" name="MSIP_Label_05e00237-919f-4fc7-9a8c-91282f710a99_ContentBits">
    <vt:lpwstr>0</vt:lpwstr>
  </property>
  <property fmtid="{D5CDD505-2E9C-101B-9397-08002B2CF9AE}" pid="9" name="MSIP_Label_05e00237-919f-4fc7-9a8c-91282f710a99_Tag">
    <vt:lpwstr>10, 0, 1, 1</vt:lpwstr>
  </property>
</Properties>
</file>